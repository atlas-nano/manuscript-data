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UCSD/Research/ESRA/Na_electrolyte/paper/data/"/>
    </mc:Choice>
  </mc:AlternateContent>
  <xr:revisionPtr revIDLastSave="0" documentId="13_ncr:1_{8572E472-3DE5-404B-828B-A692402F2102}" xr6:coauthVersionLast="47" xr6:coauthVersionMax="47" xr10:uidLastSave="{00000000-0000-0000-0000-000000000000}"/>
  <bookViews>
    <workbookView xWindow="9040" yWindow="0" windowWidth="16560" windowHeight="14860" xr2:uid="{DEF653E1-3DCD-8842-8396-664F76507A37}"/>
  </bookViews>
  <sheets>
    <sheet name="new" sheetId="2" r:id="rId1"/>
    <sheet name="archive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L16" i="1"/>
  <c r="K16" i="1"/>
  <c r="J14" i="1"/>
  <c r="I14" i="1"/>
  <c r="E10" i="1"/>
  <c r="D10" i="1"/>
  <c r="C10" i="1"/>
  <c r="B10" i="1"/>
  <c r="L18" i="1" s="1"/>
  <c r="F9" i="1"/>
  <c r="E9" i="1"/>
  <c r="D9" i="1"/>
  <c r="C9" i="1"/>
  <c r="B9" i="1"/>
  <c r="H18" i="1" l="1"/>
  <c r="K14" i="1"/>
  <c r="I17" i="1"/>
  <c r="H15" i="1"/>
  <c r="J17" i="1"/>
  <c r="K17" i="1"/>
  <c r="L17" i="1"/>
  <c r="I13" i="1"/>
  <c r="K15" i="1"/>
  <c r="J13" i="1"/>
  <c r="L15" i="1"/>
  <c r="I18" i="1"/>
  <c r="I15" i="1"/>
  <c r="H16" i="1"/>
  <c r="L13" i="1"/>
  <c r="I16" i="1"/>
  <c r="K18" i="1"/>
  <c r="H17" i="1"/>
  <c r="L14" i="1"/>
  <c r="H13" i="1"/>
  <c r="J15" i="1"/>
  <c r="K13" i="1"/>
  <c r="H14" i="1"/>
  <c r="J16" i="1"/>
</calcChain>
</file>

<file path=xl/sharedStrings.xml><?xml version="1.0" encoding="utf-8"?>
<sst xmlns="http://schemas.openxmlformats.org/spreadsheetml/2006/main" count="34" uniqueCount="17">
  <si>
    <t>Column1</t>
  </si>
  <si>
    <t>[1O:Na]G1</t>
  </si>
  <si>
    <t>[2O:Na]G1</t>
  </si>
  <si>
    <t>[3O:Na]G1</t>
  </si>
  <si>
    <t>[4O:Na]G1</t>
  </si>
  <si>
    <t>tetramer_glyme</t>
  </si>
  <si>
    <t>tetramer_F</t>
  </si>
  <si>
    <t>glyme_tetramer</t>
  </si>
  <si>
    <t>glyme_F</t>
  </si>
  <si>
    <t>F_tetramer</t>
  </si>
  <si>
    <t>F_glyme</t>
  </si>
  <si>
    <t>Percentage</t>
  </si>
  <si>
    <t>60C[4O:Na]G1</t>
  </si>
  <si>
    <t>total number of cluster</t>
  </si>
  <si>
    <t>structural Na</t>
  </si>
  <si>
    <t>CIP Na</t>
  </si>
  <si>
    <t>SSIP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</si>
</sst>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9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3D9774-75AE-2C48-B917-C1065071683D}" name="Table1" displayName="Table1" ref="A1:F4" totalsRowShown="0" headerRowDxfId="8" dataDxfId="7" tableBorderDxfId="6">
  <tableColumns count="6">
    <tableColumn id="1" xr3:uid="{BA44A25F-14DE-EF4B-81AC-E75206BF0A65}" name="Column1" dataDxfId="5"/>
    <tableColumn id="2" xr3:uid="{125924A9-60BE-CF48-BCBD-3215834AAEA0}" name="[1O:Na]G1" dataDxfId="4"/>
    <tableColumn id="3" xr3:uid="{7AF6AF68-4311-A94B-BDF7-C97EA6E8B2F4}" name="[2O:Na]G1" dataDxfId="3"/>
    <tableColumn id="4" xr3:uid="{CDF92E0C-0050-AA40-9DE8-8EEB8F4C6640}" name="[3O:Na]G1" dataDxfId="2"/>
    <tableColumn id="5" xr3:uid="{3E8E1528-4431-0F48-876B-9884CBA6F0CE}" name="[4O:Na]G1" dataDxfId="1"/>
    <tableColumn id="6" xr3:uid="{041D9E53-B4E6-6444-A357-A6E8227D3345}" name="60C[4O:Na]G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9BA6-3BE1-944D-A2C0-FC9EFE4E9E94}">
  <dimension ref="A1:F4"/>
  <sheetViews>
    <sheetView tabSelected="1" workbookViewId="0">
      <selection activeCell="C9" sqref="C9"/>
    </sheetView>
  </sheetViews>
  <sheetFormatPr baseColWidth="10" defaultRowHeight="16" x14ac:dyDescent="0.2"/>
  <sheetData>
    <row r="1" spans="1:6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12</v>
      </c>
    </row>
    <row r="2" spans="1:6" x14ac:dyDescent="0.2">
      <c r="A2" s="5" t="s">
        <v>14</v>
      </c>
      <c r="B2" s="5">
        <v>0.56636726999999998</v>
      </c>
      <c r="C2" s="5">
        <v>0.36467690000000003</v>
      </c>
      <c r="D2" s="5">
        <v>0.26028412000000001</v>
      </c>
      <c r="E2" s="5">
        <v>0.21808726000000001</v>
      </c>
      <c r="F2" s="5">
        <v>0.21742453</v>
      </c>
    </row>
    <row r="3" spans="1:6" x14ac:dyDescent="0.2">
      <c r="A3" s="5" t="s">
        <v>15</v>
      </c>
      <c r="B3" s="5">
        <v>0.43056854999999999</v>
      </c>
      <c r="C3" s="5">
        <v>0.62394742000000003</v>
      </c>
      <c r="D3" s="5">
        <v>0.71860966000000004</v>
      </c>
      <c r="E3" s="5">
        <v>0.74894742000000003</v>
      </c>
      <c r="F3" s="5">
        <v>0.72138535000000004</v>
      </c>
    </row>
    <row r="4" spans="1:6" x14ac:dyDescent="0.2">
      <c r="A4" s="5" t="s">
        <v>16</v>
      </c>
      <c r="B4" s="5">
        <v>3.0641800000000001E-3</v>
      </c>
      <c r="C4" s="5">
        <v>1.1375690000000001E-2</v>
      </c>
      <c r="D4" s="5">
        <v>2.110623E-2</v>
      </c>
      <c r="E4" s="5">
        <v>3.2965319999999999E-2</v>
      </c>
      <c r="F4" s="5">
        <v>6.1190120000000001E-2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EF098-DA28-E74D-93E8-D04DBE1F7B2F}">
  <dimension ref="A1:M18"/>
  <sheetViews>
    <sheetView workbookViewId="0">
      <selection activeCell="I6" sqref="I6"/>
    </sheetView>
  </sheetViews>
  <sheetFormatPr baseColWidth="10" defaultRowHeight="16" x14ac:dyDescent="0.2"/>
  <cols>
    <col min="1" max="1" width="13.8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I1" s="1"/>
      <c r="J1" s="1"/>
      <c r="K1" s="1"/>
      <c r="L1" s="1"/>
      <c r="M1" s="1"/>
    </row>
    <row r="2" spans="1:13" x14ac:dyDescent="0.2">
      <c r="A2" s="1" t="s">
        <v>5</v>
      </c>
      <c r="B2" s="1">
        <v>0.36674396165338646</v>
      </c>
      <c r="C2" s="1">
        <v>0.51478461155378485</v>
      </c>
      <c r="D2" s="1">
        <v>0.55546563745019917</v>
      </c>
      <c r="E2" s="1">
        <v>0.48109904133466136</v>
      </c>
      <c r="F2" s="1">
        <v>0.47528635458167329</v>
      </c>
      <c r="I2" s="1"/>
      <c r="J2" s="1"/>
      <c r="K2" s="1"/>
      <c r="L2" s="1"/>
      <c r="M2" s="1"/>
    </row>
    <row r="3" spans="1:13" x14ac:dyDescent="0.2">
      <c r="A3" s="1" t="s">
        <v>6</v>
      </c>
      <c r="B3" s="1">
        <v>0.25854394920318724</v>
      </c>
      <c r="C3" s="1">
        <v>0.14011921065737051</v>
      </c>
      <c r="D3" s="1">
        <v>4.4205988545816734E-2</v>
      </c>
      <c r="E3" s="1">
        <v>3.3405440737051796E-2</v>
      </c>
      <c r="F3" s="1">
        <v>4.3443413844621512E-2</v>
      </c>
      <c r="I3" s="1"/>
      <c r="J3" s="1"/>
      <c r="K3" s="1"/>
      <c r="L3" s="1"/>
      <c r="M3" s="1"/>
    </row>
    <row r="4" spans="1:13" x14ac:dyDescent="0.2">
      <c r="A4" s="1" t="s">
        <v>7</v>
      </c>
      <c r="B4" s="1">
        <v>1.7842691733067729E-2</v>
      </c>
      <c r="C4" s="1">
        <v>0.10249626494023904</v>
      </c>
      <c r="D4" s="1">
        <v>0.14513819721115537</v>
      </c>
      <c r="E4" s="1">
        <v>0.2307566608565737</v>
      </c>
      <c r="F4" s="1">
        <v>0.26075385956175301</v>
      </c>
      <c r="I4" s="1"/>
      <c r="J4" s="1"/>
      <c r="K4" s="1"/>
      <c r="L4" s="1"/>
      <c r="M4" s="1"/>
    </row>
    <row r="5" spans="1:13" x14ac:dyDescent="0.2">
      <c r="A5" s="1" t="s">
        <v>8</v>
      </c>
      <c r="B5" s="1">
        <v>1.7897161354581674E-4</v>
      </c>
      <c r="C5" s="1">
        <v>5.6025896414342634E-4</v>
      </c>
      <c r="D5" s="1">
        <v>7.7813745019920317E-6</v>
      </c>
      <c r="E5" s="1">
        <v>1.7119023904382471E-4</v>
      </c>
      <c r="F5" s="1">
        <v>4.5131972111553783E-4</v>
      </c>
      <c r="I5" s="1"/>
      <c r="J5" s="1"/>
      <c r="K5" s="1"/>
      <c r="L5" s="1"/>
      <c r="M5" s="1"/>
    </row>
    <row r="6" spans="1:13" x14ac:dyDescent="0.2">
      <c r="A6" s="1" t="s">
        <v>9</v>
      </c>
      <c r="B6" s="1">
        <v>1.1516434262948208E-3</v>
      </c>
      <c r="C6" s="1">
        <v>1.5562749003984063E-5</v>
      </c>
      <c r="D6" s="1">
        <v>6.2250996015936254E-5</v>
      </c>
      <c r="E6" s="1">
        <v>0</v>
      </c>
      <c r="F6" s="1">
        <v>0</v>
      </c>
      <c r="I6" s="1"/>
      <c r="J6" s="1"/>
      <c r="K6" s="1"/>
      <c r="L6" s="1"/>
      <c r="M6" s="1"/>
    </row>
    <row r="7" spans="1:13" x14ac:dyDescent="0.2">
      <c r="A7" s="1" t="s">
        <v>10</v>
      </c>
      <c r="B7" s="1">
        <v>0</v>
      </c>
      <c r="C7" s="1">
        <v>0</v>
      </c>
      <c r="D7" s="1">
        <v>7.7813745019920317E-6</v>
      </c>
      <c r="E7" s="1">
        <v>0</v>
      </c>
      <c r="F7" s="1">
        <v>0</v>
      </c>
      <c r="I7" s="1"/>
      <c r="J7" s="1"/>
      <c r="K7" s="1"/>
      <c r="L7" s="1"/>
      <c r="M7" s="1"/>
    </row>
    <row r="8" spans="1:13" x14ac:dyDescent="0.2">
      <c r="I8" s="1"/>
      <c r="J8" s="1"/>
      <c r="K8" s="1"/>
      <c r="L8" s="1"/>
      <c r="M8" s="1"/>
    </row>
    <row r="9" spans="1:13" x14ac:dyDescent="0.2">
      <c r="B9">
        <f>SUM(Table1['[1O:Na']G1])</f>
        <v>0.64313060258964139</v>
      </c>
      <c r="C9">
        <f>SUM(Table1['[2O:Na']G1])</f>
        <v>0.7574000871513944</v>
      </c>
      <c r="D9">
        <f>SUM(Table1['[3O:Na']G1])</f>
        <v>0.74480982320717126</v>
      </c>
      <c r="E9">
        <f>SUM(Table1['[4O:Na']G1])</f>
        <v>0.74526114292828693</v>
      </c>
      <c r="F9">
        <f>SUM(Table1[60C'[4O:Na']G1])</f>
        <v>0.77948362798804782</v>
      </c>
    </row>
    <row r="10" spans="1:13" x14ac:dyDescent="0.2">
      <c r="A10" t="s">
        <v>13</v>
      </c>
      <c r="B10">
        <f>256*502</f>
        <v>128512</v>
      </c>
      <c r="C10">
        <f>256*502</f>
        <v>128512</v>
      </c>
      <c r="D10">
        <f>256*502</f>
        <v>128512</v>
      </c>
      <c r="E10">
        <f>256*502</f>
        <v>128512</v>
      </c>
    </row>
    <row r="12" spans="1:13" x14ac:dyDescent="0.2">
      <c r="B12" s="1" t="s">
        <v>1</v>
      </c>
      <c r="C12" s="1" t="s">
        <v>2</v>
      </c>
      <c r="D12" s="1" t="s">
        <v>3</v>
      </c>
      <c r="E12" s="1" t="s">
        <v>4</v>
      </c>
      <c r="F12" s="1" t="s">
        <v>12</v>
      </c>
      <c r="H12" t="s">
        <v>11</v>
      </c>
    </row>
    <row r="13" spans="1:13" x14ac:dyDescent="0.2">
      <c r="A13" s="3" t="s">
        <v>5</v>
      </c>
      <c r="B13" s="2">
        <v>47131</v>
      </c>
      <c r="C13" s="2">
        <v>66156</v>
      </c>
      <c r="D13" s="2">
        <v>71384</v>
      </c>
      <c r="E13" s="2">
        <v>61827</v>
      </c>
      <c r="F13" s="2">
        <v>61080</v>
      </c>
      <c r="H13">
        <f>B13/$B$10</f>
        <v>0.36674396165338646</v>
      </c>
      <c r="I13">
        <f t="shared" ref="I13:L13" si="0">C13/$B$10</f>
        <v>0.51478461155378485</v>
      </c>
      <c r="J13">
        <f t="shared" si="0"/>
        <v>0.55546563745019917</v>
      </c>
      <c r="K13">
        <f t="shared" si="0"/>
        <v>0.48109904133466136</v>
      </c>
      <c r="L13">
        <f t="shared" si="0"/>
        <v>0.47528635458167329</v>
      </c>
    </row>
    <row r="14" spans="1:13" x14ac:dyDescent="0.2">
      <c r="A14" s="3" t="s">
        <v>6</v>
      </c>
      <c r="B14" s="2">
        <v>33226</v>
      </c>
      <c r="C14" s="2">
        <v>18007</v>
      </c>
      <c r="D14" s="2">
        <v>5681</v>
      </c>
      <c r="E14" s="2">
        <v>4293</v>
      </c>
      <c r="F14" s="2">
        <v>5583</v>
      </c>
      <c r="H14">
        <f t="shared" ref="H14:H18" si="1">B14/$B$10</f>
        <v>0.25854394920318724</v>
      </c>
      <c r="I14">
        <f t="shared" ref="I14:I18" si="2">C14/$B$10</f>
        <v>0.14011921065737051</v>
      </c>
      <c r="J14">
        <f t="shared" ref="J14:J18" si="3">D14/$B$10</f>
        <v>4.4205988545816734E-2</v>
      </c>
      <c r="K14">
        <f t="shared" ref="K14:K18" si="4">E14/$B$10</f>
        <v>3.3405440737051796E-2</v>
      </c>
      <c r="L14">
        <f t="shared" ref="L14:L18" si="5">F14/$B$10</f>
        <v>4.3443413844621512E-2</v>
      </c>
    </row>
    <row r="15" spans="1:13" x14ac:dyDescent="0.2">
      <c r="A15" s="3" t="s">
        <v>7</v>
      </c>
      <c r="B15" s="2">
        <v>2293</v>
      </c>
      <c r="C15" s="2">
        <v>13172</v>
      </c>
      <c r="D15" s="2">
        <v>18652</v>
      </c>
      <c r="E15" s="2">
        <v>29655</v>
      </c>
      <c r="F15" s="2">
        <v>33510</v>
      </c>
      <c r="H15">
        <f t="shared" si="1"/>
        <v>1.7842691733067729E-2</v>
      </c>
      <c r="I15">
        <f t="shared" si="2"/>
        <v>0.10249626494023904</v>
      </c>
      <c r="J15">
        <f t="shared" si="3"/>
        <v>0.14513819721115537</v>
      </c>
      <c r="K15">
        <f t="shared" si="4"/>
        <v>0.2307566608565737</v>
      </c>
      <c r="L15">
        <f t="shared" si="5"/>
        <v>0.26075385956175301</v>
      </c>
    </row>
    <row r="16" spans="1:13" x14ac:dyDescent="0.2">
      <c r="A16" s="3" t="s">
        <v>8</v>
      </c>
      <c r="B16" s="2">
        <v>23</v>
      </c>
      <c r="C16" s="2">
        <v>72</v>
      </c>
      <c r="D16" s="2">
        <v>1</v>
      </c>
      <c r="E16" s="2">
        <v>22</v>
      </c>
      <c r="F16" s="2">
        <v>58</v>
      </c>
      <c r="H16">
        <f t="shared" si="1"/>
        <v>1.7897161354581674E-4</v>
      </c>
      <c r="I16">
        <f t="shared" si="2"/>
        <v>5.6025896414342634E-4</v>
      </c>
      <c r="J16">
        <f t="shared" si="3"/>
        <v>7.7813745019920317E-6</v>
      </c>
      <c r="K16">
        <f t="shared" si="4"/>
        <v>1.7119023904382471E-4</v>
      </c>
      <c r="L16">
        <f t="shared" si="5"/>
        <v>4.5131972111553783E-4</v>
      </c>
    </row>
    <row r="17" spans="1:12" x14ac:dyDescent="0.2">
      <c r="A17" s="3" t="s">
        <v>9</v>
      </c>
      <c r="B17" s="2">
        <v>148</v>
      </c>
      <c r="C17" s="2">
        <v>2</v>
      </c>
      <c r="D17" s="2">
        <v>8</v>
      </c>
      <c r="E17" s="1">
        <v>0</v>
      </c>
      <c r="F17">
        <v>0</v>
      </c>
      <c r="H17">
        <f t="shared" si="1"/>
        <v>1.1516434262948208E-3</v>
      </c>
      <c r="I17">
        <f t="shared" si="2"/>
        <v>1.5562749003984063E-5</v>
      </c>
      <c r="J17">
        <f t="shared" si="3"/>
        <v>6.2250996015936254E-5</v>
      </c>
      <c r="K17">
        <f t="shared" si="4"/>
        <v>0</v>
      </c>
      <c r="L17">
        <f t="shared" si="5"/>
        <v>0</v>
      </c>
    </row>
    <row r="18" spans="1:12" x14ac:dyDescent="0.2">
      <c r="A18" s="4" t="s">
        <v>10</v>
      </c>
      <c r="B18" s="1">
        <v>0</v>
      </c>
      <c r="C18" s="1">
        <v>0</v>
      </c>
      <c r="D18" s="2">
        <v>1</v>
      </c>
      <c r="E18" s="1">
        <v>0</v>
      </c>
      <c r="F18" s="1">
        <v>0</v>
      </c>
      <c r="G18" s="1"/>
      <c r="H18">
        <f t="shared" si="1"/>
        <v>0</v>
      </c>
      <c r="I18">
        <f t="shared" si="2"/>
        <v>0</v>
      </c>
      <c r="J18">
        <f t="shared" si="3"/>
        <v>7.7813745019920317E-6</v>
      </c>
      <c r="K18">
        <f t="shared" si="4"/>
        <v>0</v>
      </c>
      <c r="L18">
        <f t="shared" si="5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</vt:lpstr>
      <vt:lpstr>archive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Ruan, Xiaoxu</dc:creator>
  <cp:lastModifiedBy>Ruan, Xiaoxu</cp:lastModifiedBy>
  <dcterms:created xsi:type="dcterms:W3CDTF">2025-10-06T21:21:12Z</dcterms:created>
  <dcterms:modified xsi:type="dcterms:W3CDTF">2026-02-19T02:48:14Z</dcterms:modified>
</cp:coreProperties>
</file>