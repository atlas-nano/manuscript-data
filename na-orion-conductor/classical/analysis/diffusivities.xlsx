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UCSD/Research/ESRA/Na_electrolyte/paper/data/"/>
    </mc:Choice>
  </mc:AlternateContent>
  <xr:revisionPtr revIDLastSave="0" documentId="13_ncr:1_{1DB74343-26F9-9144-9338-AA26187C7217}" xr6:coauthVersionLast="47" xr6:coauthVersionMax="47" xr10:uidLastSave="{00000000-0000-0000-0000-000000000000}"/>
  <bookViews>
    <workbookView xWindow="2960" yWindow="3840" windowWidth="25440" windowHeight="15360" xr2:uid="{5FE5EFEC-7C6F-8841-B14B-5B2CAE48DD9E}"/>
  </bookViews>
  <sheets>
    <sheet name="diffusivities" sheetId="2" r:id="rId1"/>
    <sheet name="Sheet1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J14" i="2"/>
  <c r="I14" i="2"/>
  <c r="H14" i="2"/>
  <c r="G14" i="2"/>
  <c r="F14" i="2"/>
  <c r="E14" i="2"/>
  <c r="D14" i="2"/>
  <c r="C14" i="2"/>
  <c r="B14" i="2"/>
  <c r="K13" i="2"/>
  <c r="J13" i="2"/>
  <c r="I13" i="2"/>
  <c r="H13" i="2"/>
  <c r="G13" i="2"/>
  <c r="F13" i="2"/>
  <c r="E13" i="2"/>
  <c r="D13" i="2"/>
  <c r="C13" i="2"/>
  <c r="B13" i="2"/>
  <c r="O26" i="1"/>
  <c r="N26" i="1"/>
  <c r="K26" i="1"/>
  <c r="J26" i="1"/>
  <c r="S13" i="1"/>
  <c r="R13" i="1"/>
  <c r="O13" i="1"/>
  <c r="N13" i="1"/>
  <c r="K13" i="1"/>
  <c r="J13" i="1"/>
  <c r="S12" i="1"/>
  <c r="R12" i="1"/>
  <c r="O12" i="1"/>
  <c r="N12" i="1"/>
  <c r="K12" i="1"/>
  <c r="J12" i="1"/>
  <c r="K25" i="1"/>
  <c r="J25" i="1"/>
  <c r="N25" i="1"/>
  <c r="O25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<sst xmlns="http://schemas.openxmlformats.org/spreadsheetml/2006/main" count="106" uniqueCount="15">
  <si>
    <t>[1O:Na]G1</t>
  </si>
  <si>
    <t>[2O:Na]G1</t>
  </si>
  <si>
    <t>[3O:Na]G1</t>
  </si>
  <si>
    <t>[4O:Na]G1</t>
  </si>
  <si>
    <t>Dᵀᵉᵗʳᵃᵐᵉʳ⁴⁻</t>
  </si>
  <si>
    <t>Dᴺᵃ⁺</t>
  </si>
  <si>
    <t>60C[4O:Na]G1</t>
  </si>
  <si>
    <t xml:space="preserve">1e-13 * m2/s </t>
  </si>
  <si>
    <t>mean</t>
  </si>
  <si>
    <t>m2/s</t>
  </si>
  <si>
    <t>cm2/s</t>
  </si>
  <si>
    <t>5.48*1e-9</t>
  </si>
  <si>
    <t>5.48*1e-13</t>
  </si>
  <si>
    <t>std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</si>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</sst>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1" fontId="0" fillId="0" borderId="0" xfId="0" applyNumberFormat="1"/>
    <xf numFmtId="2" fontId="0" fillId="0" borderId="0" xfId="0" applyNumberFormat="1"/>
    <xf numFmtId="11" fontId="2" fillId="0" borderId="0" xfId="0" applyNumberFormat="1" applyFont="1" applyAlignment="1">
      <alignment vertical="center"/>
    </xf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/>
    <xf numFmtId="2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9" xfId="0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9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6" xfId="0" applyNumberFormat="1" applyBorder="1"/>
    <xf numFmtId="0" fontId="3" fillId="0" borderId="9" xfId="0" applyFont="1" applyBorder="1"/>
    <xf numFmtId="2" fontId="3" fillId="0" borderId="12" xfId="0" applyNumberFormat="1" applyFont="1" applyBorder="1"/>
    <xf numFmtId="2" fontId="3" fillId="0" borderId="16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15" xfId="0" applyFont="1" applyBorder="1"/>
    <xf numFmtId="2" fontId="3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2" fontId="3" fillId="0" borderId="5" xfId="0" applyNumberFormat="1" applyFont="1" applyBorder="1"/>
    <xf numFmtId="2" fontId="3" fillId="0" borderId="14" xfId="0" applyNumberFormat="1" applyFont="1" applyBorder="1"/>
    <xf numFmtId="2" fontId="3" fillId="0" borderId="1" xfId="0" applyNumberFormat="1" applyFont="1" applyBorder="1"/>
    <xf numFmtId="2" fontId="3" fillId="0" borderId="13" xfId="0" applyNumberFormat="1" applyFont="1" applyBorder="1"/>
    <xf numFmtId="2" fontId="3" fillId="0" borderId="6" xfId="0" applyNumberFormat="1" applyFont="1" applyBorder="1"/>
    <xf numFmtId="2" fontId="3" fillId="0" borderId="8" xfId="0" applyNumberFormat="1" applyFont="1" applyBorder="1"/>
    <xf numFmtId="2" fontId="3" fillId="0" borderId="7" xfId="0" applyNumberFormat="1" applyFont="1" applyBorder="1"/>
    <xf numFmtId="2" fontId="3" fillId="0" borderId="9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10495</xdr:colOff>
      <xdr:row>1</xdr:row>
      <xdr:rowOff>29507</xdr:rowOff>
    </xdr:from>
    <xdr:ext cx="814325" cy="1986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F1AF331-D9E4-3845-9B07-3763E3CE4B07}"/>
                </a:ext>
              </a:extLst>
            </xdr:cNvPr>
            <xdr:cNvSpPr txBox="1"/>
          </xdr:nvSpPr>
          <xdr:spPr>
            <a:xfrm>
              <a:off x="5674695" y="6824007"/>
              <a:ext cx="814325" cy="198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𝑠</m:t>
                    </m:r>
                  </m:oMath>
                </m:oMathPara>
              </a14:m>
              <a:endParaRPr lang="en-US" sz="1100" b="0"/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F1AF331-D9E4-3845-9B07-3763E3CE4B07}"/>
                </a:ext>
              </a:extLst>
            </xdr:cNvPr>
            <xdr:cNvSpPr txBox="1"/>
          </xdr:nvSpPr>
          <xdr:spPr>
            <a:xfrm>
              <a:off x="5674695" y="6824007"/>
              <a:ext cx="814325" cy="198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10^(−13)×</a:t>
              </a:r>
              <a:r>
                <a:rPr lang="en-US" sz="1100" b="0" i="0">
                  <a:latin typeface="Cambria Math" panose="02040503050406030204" pitchFamily="18" charset="0"/>
                </a:rPr>
                <a:t>𝑚^2/𝑠</a:t>
              </a:r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0074-3797-CE42-A8DD-B45DDEDE7368}">
  <dimension ref="A1:K14"/>
  <sheetViews>
    <sheetView tabSelected="1" workbookViewId="0">
      <selection activeCell="C11" sqref="C11"/>
    </sheetView>
  </sheetViews>
  <sheetFormatPr baseColWidth="10" defaultRowHeight="16" x14ac:dyDescent="0.2"/>
  <sheetData>
    <row r="1" spans="1:11" ht="17" thickBot="1" x14ac:dyDescent="0.25">
      <c r="A1" s="19" t="s">
        <v>14</v>
      </c>
      <c r="B1" s="35" t="s">
        <v>0</v>
      </c>
      <c r="C1" s="36"/>
      <c r="D1" s="35" t="s">
        <v>1</v>
      </c>
      <c r="E1" s="36"/>
      <c r="F1" s="35" t="s">
        <v>2</v>
      </c>
      <c r="G1" s="36"/>
      <c r="H1" s="35" t="s">
        <v>3</v>
      </c>
      <c r="I1" s="36"/>
      <c r="J1" s="35" t="s">
        <v>6</v>
      </c>
      <c r="K1" s="36"/>
    </row>
    <row r="2" spans="1:11" ht="17" thickBot="1" x14ac:dyDescent="0.25">
      <c r="A2" s="20"/>
      <c r="B2" s="21" t="s">
        <v>4</v>
      </c>
      <c r="C2" s="22" t="s">
        <v>5</v>
      </c>
      <c r="D2" s="23" t="s">
        <v>4</v>
      </c>
      <c r="E2" s="22" t="s">
        <v>5</v>
      </c>
      <c r="F2" s="23" t="s">
        <v>4</v>
      </c>
      <c r="G2" s="22" t="s">
        <v>5</v>
      </c>
      <c r="H2" s="23" t="s">
        <v>4</v>
      </c>
      <c r="I2" s="22" t="s">
        <v>5</v>
      </c>
      <c r="J2" s="23" t="s">
        <v>4</v>
      </c>
      <c r="K2" s="22" t="s">
        <v>5</v>
      </c>
    </row>
    <row r="3" spans="1:11" x14ac:dyDescent="0.2">
      <c r="A3" s="24"/>
      <c r="B3" s="25">
        <v>1.2991601146130798</v>
      </c>
      <c r="C3" s="26">
        <v>1.42360647189569</v>
      </c>
      <c r="D3" s="27">
        <v>1.5088872204155499</v>
      </c>
      <c r="E3" s="28">
        <v>1.83067125817807</v>
      </c>
      <c r="F3" s="25">
        <v>2.0898603431706002</v>
      </c>
      <c r="G3" s="26">
        <v>2.5819263284885801</v>
      </c>
      <c r="H3" s="25">
        <v>2.7659509705657399</v>
      </c>
      <c r="I3" s="26">
        <v>3.7435552278230402</v>
      </c>
      <c r="J3" s="25">
        <v>4.0527883020516295</v>
      </c>
      <c r="K3" s="26">
        <v>6.1987469732447495</v>
      </c>
    </row>
    <row r="4" spans="1:11" x14ac:dyDescent="0.2">
      <c r="A4" s="24"/>
      <c r="B4" s="27">
        <v>1.25208975020208</v>
      </c>
      <c r="C4" s="28">
        <v>1.3665668251134799</v>
      </c>
      <c r="D4" s="27">
        <v>1.4466275395319399</v>
      </c>
      <c r="E4" s="28">
        <v>1.7555513427803699</v>
      </c>
      <c r="F4" s="27">
        <v>2.0035968925348802</v>
      </c>
      <c r="G4" s="28">
        <v>2.4773219039369403</v>
      </c>
      <c r="H4" s="27">
        <v>2.6522543842520103</v>
      </c>
      <c r="I4" s="28">
        <v>3.59880443954928</v>
      </c>
      <c r="J4" s="27">
        <v>3.8984876589874498</v>
      </c>
      <c r="K4" s="28">
        <v>5.9753940386180995</v>
      </c>
    </row>
    <row r="5" spans="1:11" x14ac:dyDescent="0.2">
      <c r="A5" s="24"/>
      <c r="B5" s="27">
        <v>1.21749163996858</v>
      </c>
      <c r="C5" s="28">
        <v>1.3243857276593598</v>
      </c>
      <c r="D5" s="27">
        <v>1.3985069378147299</v>
      </c>
      <c r="E5" s="28">
        <v>1.6964573030000301</v>
      </c>
      <c r="F5" s="27">
        <v>1.93357148883527</v>
      </c>
      <c r="G5" s="28">
        <v>2.3926254200266799</v>
      </c>
      <c r="H5" s="27">
        <v>2.5599444710071202</v>
      </c>
      <c r="I5" s="28">
        <v>3.4806934694950797</v>
      </c>
      <c r="J5" s="27">
        <v>3.7731692025801902</v>
      </c>
      <c r="K5" s="28">
        <v>5.79235361611501</v>
      </c>
    </row>
    <row r="6" spans="1:11" x14ac:dyDescent="0.2">
      <c r="A6" s="24"/>
      <c r="B6" s="27">
        <v>1.18802169345924</v>
      </c>
      <c r="C6" s="28">
        <v>1.2888113459981598</v>
      </c>
      <c r="D6" s="27">
        <v>1.3578716752611399</v>
      </c>
      <c r="E6" s="28">
        <v>1.64523389373499</v>
      </c>
      <c r="F6" s="27">
        <v>1.8739777224098</v>
      </c>
      <c r="G6" s="28">
        <v>2.3189267745720898</v>
      </c>
      <c r="H6" s="27">
        <v>2.4800021785827799</v>
      </c>
      <c r="I6" s="28">
        <v>3.3778026157314995</v>
      </c>
      <c r="J6" s="27">
        <v>3.6658591870911197</v>
      </c>
      <c r="K6" s="28">
        <v>5.6337642586903796</v>
      </c>
    </row>
    <row r="7" spans="1:11" x14ac:dyDescent="0.2">
      <c r="A7" s="24"/>
      <c r="B7" s="27">
        <v>1.1619460257015899</v>
      </c>
      <c r="C7" s="28">
        <v>1.2569799673290201</v>
      </c>
      <c r="D7" s="27">
        <v>1.32145802404393</v>
      </c>
      <c r="E7" s="28">
        <v>1.6012316799887798</v>
      </c>
      <c r="F7" s="27">
        <v>1.8207693707640298</v>
      </c>
      <c r="G7" s="28">
        <v>2.2552228755310297</v>
      </c>
      <c r="H7" s="27">
        <v>2.4088192169909899</v>
      </c>
      <c r="I7" s="28">
        <v>3.2869137277696701</v>
      </c>
      <c r="J7" s="27">
        <v>3.5726827782274002</v>
      </c>
      <c r="K7" s="28">
        <v>5.4933776841719899</v>
      </c>
    </row>
    <row r="8" spans="1:11" x14ac:dyDescent="0.2">
      <c r="A8" s="24"/>
      <c r="B8" s="27">
        <v>1.1388194502073499</v>
      </c>
      <c r="C8" s="28">
        <v>1.2294733095910799</v>
      </c>
      <c r="D8" s="27">
        <v>1.2878508665059598</v>
      </c>
      <c r="E8" s="28">
        <v>1.56038171330521</v>
      </c>
      <c r="F8" s="27">
        <v>1.7725962470470999</v>
      </c>
      <c r="G8" s="28">
        <v>2.19746930892744</v>
      </c>
      <c r="H8" s="27">
        <v>2.3440032049809898</v>
      </c>
      <c r="I8" s="28">
        <v>3.2028049473067197</v>
      </c>
      <c r="J8" s="27">
        <v>3.4874292720291602</v>
      </c>
      <c r="K8" s="28">
        <v>5.3641746244131197</v>
      </c>
    </row>
    <row r="9" spans="1:11" x14ac:dyDescent="0.2">
      <c r="A9" s="24"/>
      <c r="B9" s="27">
        <v>1.11771828715135</v>
      </c>
      <c r="C9" s="28">
        <v>1.2041373402140398</v>
      </c>
      <c r="D9" s="27">
        <v>1.2581154467962801</v>
      </c>
      <c r="E9" s="28">
        <v>1.52411768507801</v>
      </c>
      <c r="F9" s="27">
        <v>1.7298169788981699</v>
      </c>
      <c r="G9" s="28">
        <v>2.1455784394490096</v>
      </c>
      <c r="H9" s="27">
        <v>2.2843253709143898</v>
      </c>
      <c r="I9" s="28">
        <v>3.1248661585597799</v>
      </c>
      <c r="J9" s="27">
        <v>3.4087098662622397</v>
      </c>
      <c r="K9" s="28">
        <v>5.2457217456993801</v>
      </c>
    </row>
    <row r="10" spans="1:11" x14ac:dyDescent="0.2">
      <c r="A10" s="24"/>
      <c r="B10" s="27">
        <v>1.0988144391116099</v>
      </c>
      <c r="C10" s="28">
        <v>1.1813295818165299</v>
      </c>
      <c r="D10" s="27">
        <v>1.2310369652031898</v>
      </c>
      <c r="E10" s="28">
        <v>1.49021654646743</v>
      </c>
      <c r="F10" s="27">
        <v>1.68981163156333</v>
      </c>
      <c r="G10" s="28">
        <v>2.0975560828943602</v>
      </c>
      <c r="H10" s="27">
        <v>2.2300249037896598</v>
      </c>
      <c r="I10" s="28">
        <v>3.0544173360460203</v>
      </c>
      <c r="J10" s="27">
        <v>3.33790763216285</v>
      </c>
      <c r="K10" s="28">
        <v>5.1377802460359199</v>
      </c>
    </row>
    <row r="11" spans="1:11" x14ac:dyDescent="0.2">
      <c r="A11" s="24"/>
      <c r="B11" s="27">
        <v>1.0821493265887598</v>
      </c>
      <c r="C11" s="28">
        <v>1.15939381737592</v>
      </c>
      <c r="D11" s="27">
        <v>1.2043565888232401</v>
      </c>
      <c r="E11" s="28">
        <v>1.45758916246569</v>
      </c>
      <c r="F11" s="27">
        <v>1.6534632581064199</v>
      </c>
      <c r="G11" s="28">
        <v>2.05282812003257</v>
      </c>
      <c r="H11" s="27">
        <v>2.1792427351637</v>
      </c>
      <c r="I11" s="28">
        <v>2.9886290954671799</v>
      </c>
      <c r="J11" s="27">
        <v>3.2729542294092502</v>
      </c>
      <c r="K11" s="28">
        <v>5.0375349818225805</v>
      </c>
    </row>
    <row r="12" spans="1:11" ht="17" thickBot="1" x14ac:dyDescent="0.25">
      <c r="A12" s="24"/>
      <c r="B12" s="27">
        <v>1.0666323287799599</v>
      </c>
      <c r="C12" s="28">
        <v>1.13997087024111</v>
      </c>
      <c r="D12" s="27">
        <v>1.17985980788943</v>
      </c>
      <c r="E12" s="28">
        <v>1.42664029181008</v>
      </c>
      <c r="F12" s="27">
        <v>1.6187610037993099</v>
      </c>
      <c r="G12" s="28">
        <v>2.0109198899660101</v>
      </c>
      <c r="H12" s="27">
        <v>2.1310554391440402</v>
      </c>
      <c r="I12" s="28">
        <v>2.9276158162178998</v>
      </c>
      <c r="J12" s="27">
        <v>3.2127692721221202</v>
      </c>
      <c r="K12" s="28">
        <v>4.9450926636349699</v>
      </c>
    </row>
    <row r="13" spans="1:11" x14ac:dyDescent="0.2">
      <c r="A13" s="29" t="s">
        <v>8</v>
      </c>
      <c r="B13" s="30">
        <f>AVERAGE(B3:B12)</f>
        <v>1.1622843055783598</v>
      </c>
      <c r="C13" s="26">
        <f>AVERAGE(C3:C12)</f>
        <v>1.2574655257234386</v>
      </c>
      <c r="D13" s="30">
        <f>AVERAGE(D3:D12)</f>
        <v>1.319457107228539</v>
      </c>
      <c r="E13" s="26">
        <f>AVERAGE(E3:E12)</f>
        <v>1.5988090876808658</v>
      </c>
      <c r="F13" s="30">
        <f>AVERAGE(F3:F12)</f>
        <v>1.818622493712891</v>
      </c>
      <c r="G13" s="26">
        <f>AVERAGE(G3:G12)</f>
        <v>2.2530375143824708</v>
      </c>
      <c r="H13" s="30">
        <f>AVERAGE(H3:H12)</f>
        <v>2.4035622875391418</v>
      </c>
      <c r="I13" s="26">
        <f>AVERAGE(I3:I12)</f>
        <v>3.2786102833966169</v>
      </c>
      <c r="J13" s="25">
        <f>AVERAGE(J3:J12)</f>
        <v>3.5682757400923406</v>
      </c>
      <c r="K13" s="26">
        <f>AVERAGE(K3:K12)</f>
        <v>5.4823940832446194</v>
      </c>
    </row>
    <row r="14" spans="1:11" ht="17" thickBot="1" x14ac:dyDescent="0.25">
      <c r="A14" s="31" t="s">
        <v>13</v>
      </c>
      <c r="B14" s="32">
        <f>STDEV(B3:B12)</f>
        <v>7.6482714989934544E-2</v>
      </c>
      <c r="C14" s="33">
        <f>STDEV(C3:C12)</f>
        <v>9.2983996651654285E-2</v>
      </c>
      <c r="D14" s="32">
        <f>STDEV(D3:D12)</f>
        <v>0.1080637957916737</v>
      </c>
      <c r="E14" s="33">
        <f>STDEV(E3:E12)</f>
        <v>0.13268905859932692</v>
      </c>
      <c r="F14" s="32">
        <f>STDEV(F3:F12)</f>
        <v>0.1555945023345959</v>
      </c>
      <c r="G14" s="33">
        <f>STDEV(G3:G12)</f>
        <v>0.18850782261264082</v>
      </c>
      <c r="H14" s="32">
        <f>STDEV(H3:H12)</f>
        <v>0.20975080195040538</v>
      </c>
      <c r="I14" s="33">
        <f>STDEV(I3:I12)</f>
        <v>0.27005681849783131</v>
      </c>
      <c r="J14" s="34">
        <f>STDEV(J3:J12)</f>
        <v>0.27768530234413102</v>
      </c>
      <c r="K14" s="33">
        <f>STDEV(K3:K12)</f>
        <v>0.41508495365602871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FAFA-6EAF-E04D-8E25-0461D056C81B}">
  <dimension ref="A1:S51"/>
  <sheetViews>
    <sheetView topLeftCell="A30" zoomScale="167" zoomScaleNormal="167" workbookViewId="0">
      <selection activeCell="H33" sqref="H33:R46"/>
    </sheetView>
  </sheetViews>
  <sheetFormatPr baseColWidth="10" defaultRowHeight="16" x14ac:dyDescent="0.2"/>
  <cols>
    <col min="2" max="3" width="10.33203125" style="2" customWidth="1"/>
    <col min="4" max="4" width="10.33203125" customWidth="1"/>
    <col min="8" max="8" width="11.33203125" customWidth="1"/>
    <col min="9" max="19" width="10.83203125" style="2"/>
  </cols>
  <sheetData>
    <row r="1" spans="1:19" ht="17" thickBot="1" x14ac:dyDescent="0.25">
      <c r="A1" s="12"/>
      <c r="B1" s="13" t="s">
        <v>4</v>
      </c>
      <c r="C1" s="14" t="s">
        <v>5</v>
      </c>
      <c r="D1" s="1">
        <v>1E-13</v>
      </c>
      <c r="E1" t="s">
        <v>4</v>
      </c>
      <c r="F1" t="s">
        <v>5</v>
      </c>
      <c r="I1" s="15" t="s">
        <v>0</v>
      </c>
      <c r="J1" s="13" t="s">
        <v>4</v>
      </c>
      <c r="K1" s="14" t="s">
        <v>5</v>
      </c>
      <c r="M1" s="15" t="s">
        <v>1</v>
      </c>
      <c r="N1" s="13" t="s">
        <v>4</v>
      </c>
      <c r="O1" s="14" t="s">
        <v>5</v>
      </c>
      <c r="Q1" s="15" t="s">
        <v>2</v>
      </c>
      <c r="R1" s="13" t="s">
        <v>4</v>
      </c>
      <c r="S1" s="14" t="s">
        <v>5</v>
      </c>
    </row>
    <row r="2" spans="1:19" x14ac:dyDescent="0.2">
      <c r="A2" s="4" t="s">
        <v>0</v>
      </c>
      <c r="B2" s="5">
        <f>E2/$D$1</f>
        <v>1.2991601146130798</v>
      </c>
      <c r="C2" s="6">
        <f>F2/$D$1</f>
        <v>1.42360647189569</v>
      </c>
      <c r="E2" s="1">
        <v>1.2991601146130799E-13</v>
      </c>
      <c r="F2" s="1">
        <v>1.4236064718956901E-13</v>
      </c>
      <c r="I2" s="16" t="s">
        <v>7</v>
      </c>
      <c r="J2" s="2">
        <v>1.2991601146130798</v>
      </c>
      <c r="K2" s="8">
        <v>1.42360647189569</v>
      </c>
      <c r="M2" s="16" t="s">
        <v>7</v>
      </c>
      <c r="N2" s="2">
        <v>1.5088872204155499</v>
      </c>
      <c r="O2" s="8">
        <v>1.83067125817807</v>
      </c>
      <c r="Q2" s="17" t="s">
        <v>7</v>
      </c>
      <c r="R2" s="5">
        <v>2.0898603431706002</v>
      </c>
      <c r="S2" s="6">
        <v>2.5819263284885801</v>
      </c>
    </row>
    <row r="3" spans="1:19" x14ac:dyDescent="0.2">
      <c r="A3" s="7" t="s">
        <v>0</v>
      </c>
      <c r="B3" s="2">
        <f t="shared" ref="B3:B41" si="0">E3/$D$1</f>
        <v>1.25208975020208</v>
      </c>
      <c r="C3" s="8">
        <f t="shared" ref="C3:C41" si="1">F3/$D$1</f>
        <v>1.3665668251134799</v>
      </c>
      <c r="E3" s="1">
        <v>1.2520897502020801E-13</v>
      </c>
      <c r="F3" s="1">
        <v>1.3665668251134799E-13</v>
      </c>
      <c r="I3" s="16"/>
      <c r="J3" s="2">
        <v>1.25208975020208</v>
      </c>
      <c r="K3" s="8">
        <v>1.3665668251134799</v>
      </c>
      <c r="M3" s="16"/>
      <c r="N3" s="2">
        <v>1.4466275395319399</v>
      </c>
      <c r="O3" s="8">
        <v>1.7555513427803699</v>
      </c>
      <c r="Q3" s="16"/>
      <c r="R3" s="2">
        <v>2.0035968925348802</v>
      </c>
      <c r="S3" s="8">
        <v>2.4773219039369403</v>
      </c>
    </row>
    <row r="4" spans="1:19" x14ac:dyDescent="0.2">
      <c r="A4" s="7" t="s">
        <v>0</v>
      </c>
      <c r="B4" s="2">
        <f t="shared" si="0"/>
        <v>1.21749163996858</v>
      </c>
      <c r="C4" s="8">
        <f t="shared" si="1"/>
        <v>1.3243857276593598</v>
      </c>
      <c r="E4" s="1">
        <v>1.21749163996858E-13</v>
      </c>
      <c r="F4" s="1">
        <v>1.32438572765936E-13</v>
      </c>
      <c r="I4" s="16"/>
      <c r="J4" s="2">
        <v>1.21749163996858</v>
      </c>
      <c r="K4" s="8">
        <v>1.3243857276593598</v>
      </c>
      <c r="M4" s="16"/>
      <c r="N4" s="2">
        <v>1.3985069378147299</v>
      </c>
      <c r="O4" s="8">
        <v>1.6964573030000301</v>
      </c>
      <c r="Q4" s="16"/>
      <c r="R4" s="2">
        <v>1.93357148883527</v>
      </c>
      <c r="S4" s="8">
        <v>2.3926254200266799</v>
      </c>
    </row>
    <row r="5" spans="1:19" x14ac:dyDescent="0.2">
      <c r="A5" s="7" t="s">
        <v>0</v>
      </c>
      <c r="B5" s="2">
        <f t="shared" si="0"/>
        <v>1.18802169345924</v>
      </c>
      <c r="C5" s="8">
        <f t="shared" si="1"/>
        <v>1.2888113459981598</v>
      </c>
      <c r="E5" s="1">
        <v>1.18802169345924E-13</v>
      </c>
      <c r="F5" s="1">
        <v>1.2888113459981599E-13</v>
      </c>
      <c r="I5" s="16"/>
      <c r="J5" s="2">
        <v>1.18802169345924</v>
      </c>
      <c r="K5" s="8">
        <v>1.2888113459981598</v>
      </c>
      <c r="M5" s="16"/>
      <c r="N5" s="2">
        <v>1.3578716752611399</v>
      </c>
      <c r="O5" s="8">
        <v>1.64523389373499</v>
      </c>
      <c r="Q5" s="16"/>
      <c r="R5" s="2">
        <v>1.8739777224098</v>
      </c>
      <c r="S5" s="8">
        <v>2.3189267745720898</v>
      </c>
    </row>
    <row r="6" spans="1:19" x14ac:dyDescent="0.2">
      <c r="A6" s="7" t="s">
        <v>0</v>
      </c>
      <c r="B6" s="2">
        <f t="shared" si="0"/>
        <v>1.1619460257015899</v>
      </c>
      <c r="C6" s="8">
        <f t="shared" si="1"/>
        <v>1.2569799673290201</v>
      </c>
      <c r="E6" s="1">
        <v>1.16194602570159E-13</v>
      </c>
      <c r="F6" s="1">
        <v>1.2569799673290201E-13</v>
      </c>
      <c r="I6" s="16"/>
      <c r="J6" s="2">
        <v>1.1619460257015899</v>
      </c>
      <c r="K6" s="8">
        <v>1.2569799673290201</v>
      </c>
      <c r="M6" s="16"/>
      <c r="N6" s="2">
        <v>1.32145802404393</v>
      </c>
      <c r="O6" s="8">
        <v>1.6012316799887798</v>
      </c>
      <c r="Q6" s="16"/>
      <c r="R6" s="2">
        <v>1.8207693707640298</v>
      </c>
      <c r="S6" s="8">
        <v>2.2552228755310297</v>
      </c>
    </row>
    <row r="7" spans="1:19" x14ac:dyDescent="0.2">
      <c r="A7" s="7" t="s">
        <v>0</v>
      </c>
      <c r="B7" s="2">
        <f t="shared" si="0"/>
        <v>1.1388194502073499</v>
      </c>
      <c r="C7" s="8">
        <f t="shared" si="1"/>
        <v>1.2294733095910799</v>
      </c>
      <c r="E7" s="1">
        <v>1.1388194502073499E-13</v>
      </c>
      <c r="F7" s="1">
        <v>1.22947330959108E-13</v>
      </c>
      <c r="I7" s="16"/>
      <c r="J7" s="2">
        <v>1.1388194502073499</v>
      </c>
      <c r="K7" s="8">
        <v>1.2294733095910799</v>
      </c>
      <c r="M7" s="16"/>
      <c r="N7" s="2">
        <v>1.2878508665059598</v>
      </c>
      <c r="O7" s="8">
        <v>1.56038171330521</v>
      </c>
      <c r="Q7" s="16"/>
      <c r="R7" s="2">
        <v>1.7725962470470999</v>
      </c>
      <c r="S7" s="8">
        <v>2.19746930892744</v>
      </c>
    </row>
    <row r="8" spans="1:19" x14ac:dyDescent="0.2">
      <c r="A8" s="7" t="s">
        <v>0</v>
      </c>
      <c r="B8" s="2">
        <f t="shared" si="0"/>
        <v>1.11771828715135</v>
      </c>
      <c r="C8" s="8">
        <f t="shared" si="1"/>
        <v>1.2041373402140398</v>
      </c>
      <c r="E8" s="1">
        <v>1.11771828715135E-13</v>
      </c>
      <c r="F8" s="1">
        <v>1.2041373402140399E-13</v>
      </c>
      <c r="I8" s="16"/>
      <c r="J8" s="2">
        <v>1.11771828715135</v>
      </c>
      <c r="K8" s="8">
        <v>1.2041373402140398</v>
      </c>
      <c r="M8" s="16"/>
      <c r="N8" s="2">
        <v>1.2581154467962801</v>
      </c>
      <c r="O8" s="8">
        <v>1.52411768507801</v>
      </c>
      <c r="Q8" s="16"/>
      <c r="R8" s="2">
        <v>1.7298169788981699</v>
      </c>
      <c r="S8" s="8">
        <v>2.1455784394490096</v>
      </c>
    </row>
    <row r="9" spans="1:19" x14ac:dyDescent="0.2">
      <c r="A9" s="7" t="s">
        <v>0</v>
      </c>
      <c r="B9" s="2">
        <f t="shared" si="0"/>
        <v>1.0988144391116099</v>
      </c>
      <c r="C9" s="8">
        <f t="shared" si="1"/>
        <v>1.1813295818165299</v>
      </c>
      <c r="E9" s="1">
        <v>1.09881443911161E-13</v>
      </c>
      <c r="F9" s="1">
        <v>1.1813295818165299E-13</v>
      </c>
      <c r="I9" s="16"/>
      <c r="J9" s="2">
        <v>1.0988144391116099</v>
      </c>
      <c r="K9" s="8">
        <v>1.1813295818165299</v>
      </c>
      <c r="M9" s="16"/>
      <c r="N9" s="2">
        <v>1.2310369652031898</v>
      </c>
      <c r="O9" s="8">
        <v>1.49021654646743</v>
      </c>
      <c r="Q9" s="16"/>
      <c r="R9" s="2">
        <v>1.68981163156333</v>
      </c>
      <c r="S9" s="8">
        <v>2.0975560828943602</v>
      </c>
    </row>
    <row r="10" spans="1:19" x14ac:dyDescent="0.2">
      <c r="A10" s="7" t="s">
        <v>0</v>
      </c>
      <c r="B10" s="2">
        <f t="shared" si="0"/>
        <v>1.0821493265887598</v>
      </c>
      <c r="C10" s="8">
        <f t="shared" si="1"/>
        <v>1.15939381737592</v>
      </c>
      <c r="E10" s="1">
        <v>1.08214932658876E-13</v>
      </c>
      <c r="F10" s="1">
        <v>1.15939381737592E-13</v>
      </c>
      <c r="I10" s="16"/>
      <c r="J10" s="2">
        <v>1.0821493265887598</v>
      </c>
      <c r="K10" s="8">
        <v>1.15939381737592</v>
      </c>
      <c r="M10" s="16"/>
      <c r="N10" s="2">
        <v>1.2043565888232401</v>
      </c>
      <c r="O10" s="8">
        <v>1.45758916246569</v>
      </c>
      <c r="Q10" s="16"/>
      <c r="R10" s="2">
        <v>1.6534632581064199</v>
      </c>
      <c r="S10" s="8">
        <v>2.05282812003257</v>
      </c>
    </row>
    <row r="11" spans="1:19" ht="17" thickBot="1" x14ac:dyDescent="0.25">
      <c r="A11" s="9" t="s">
        <v>0</v>
      </c>
      <c r="B11" s="10">
        <f t="shared" si="0"/>
        <v>1.0666323287799599</v>
      </c>
      <c r="C11" s="11">
        <f t="shared" si="1"/>
        <v>1.13997087024111</v>
      </c>
      <c r="E11" s="1">
        <v>1.06663232877996E-13</v>
      </c>
      <c r="F11" s="1">
        <v>1.1399708702411099E-13</v>
      </c>
      <c r="I11" s="18"/>
      <c r="J11" s="10">
        <v>1.0666323287799599</v>
      </c>
      <c r="K11" s="11">
        <v>1.13997087024111</v>
      </c>
      <c r="M11" s="18"/>
      <c r="N11" s="10">
        <v>1.17985980788943</v>
      </c>
      <c r="O11" s="11">
        <v>1.42664029181008</v>
      </c>
      <c r="Q11" s="18"/>
      <c r="R11" s="10">
        <v>1.6187610037993099</v>
      </c>
      <c r="S11" s="11">
        <v>2.0109198899660101</v>
      </c>
    </row>
    <row r="12" spans="1:19" x14ac:dyDescent="0.2">
      <c r="A12" s="4" t="s">
        <v>1</v>
      </c>
      <c r="B12" s="5">
        <f t="shared" si="0"/>
        <v>1.5088872204155499</v>
      </c>
      <c r="C12" s="6">
        <f t="shared" si="1"/>
        <v>1.83067125817807</v>
      </c>
      <c r="E12" s="1">
        <v>1.5088872204155499E-13</v>
      </c>
      <c r="F12" s="1">
        <v>1.83067125817807E-13</v>
      </c>
      <c r="I12" s="2" t="s">
        <v>8</v>
      </c>
      <c r="J12" s="2">
        <f>AVERAGE(J2:J11)</f>
        <v>1.1622843055783598</v>
      </c>
      <c r="K12" s="2">
        <f>AVERAGE(K2:K11)</f>
        <v>1.2574655257234386</v>
      </c>
      <c r="M12" s="2" t="s">
        <v>8</v>
      </c>
      <c r="N12" s="2">
        <f>AVERAGE(N2:N11)</f>
        <v>1.319457107228539</v>
      </c>
      <c r="O12" s="2">
        <f>AVERAGE(O2:O11)</f>
        <v>1.5988090876808658</v>
      </c>
      <c r="Q12" s="2" t="s">
        <v>8</v>
      </c>
      <c r="R12" s="2">
        <f>AVERAGE(R2:R11)</f>
        <v>1.818622493712891</v>
      </c>
      <c r="S12" s="2">
        <f>AVERAGE(S2:S11)</f>
        <v>2.2530375143824708</v>
      </c>
    </row>
    <row r="13" spans="1:19" ht="17" thickBot="1" x14ac:dyDescent="0.25">
      <c r="A13" s="7" t="s">
        <v>1</v>
      </c>
      <c r="B13" s="2">
        <f t="shared" si="0"/>
        <v>1.4466275395319399</v>
      </c>
      <c r="C13" s="8">
        <f t="shared" si="1"/>
        <v>1.7555513427803699</v>
      </c>
      <c r="E13" s="1">
        <v>1.44662753953194E-13</v>
      </c>
      <c r="F13" s="1">
        <v>1.7555513427803701E-13</v>
      </c>
      <c r="I13" s="2" t="s">
        <v>13</v>
      </c>
      <c r="J13" s="2">
        <f>STDEV(J2:J11)</f>
        <v>7.6482714989934544E-2</v>
      </c>
      <c r="K13" s="2">
        <f>STDEV(K2:K11)</f>
        <v>9.2983996651654285E-2</v>
      </c>
      <c r="M13" s="2" t="s">
        <v>13</v>
      </c>
      <c r="N13" s="2">
        <f>STDEV(N2:N11)</f>
        <v>0.1080637957916737</v>
      </c>
      <c r="O13" s="2">
        <f>STDEV(O2:O11)</f>
        <v>0.13268905859932692</v>
      </c>
      <c r="Q13" s="2" t="s">
        <v>13</v>
      </c>
      <c r="R13" s="2">
        <f>STDEV(R2:R11)</f>
        <v>0.1555945023345959</v>
      </c>
      <c r="S13" s="2">
        <f>STDEV(S2:S11)</f>
        <v>0.18850782261264082</v>
      </c>
    </row>
    <row r="14" spans="1:19" ht="17" thickBot="1" x14ac:dyDescent="0.25">
      <c r="A14" s="7" t="s">
        <v>1</v>
      </c>
      <c r="B14" s="2">
        <f t="shared" si="0"/>
        <v>1.3985069378147299</v>
      </c>
      <c r="C14" s="8">
        <f t="shared" si="1"/>
        <v>1.6964573030000301</v>
      </c>
      <c r="E14" s="1">
        <v>1.39850693781473E-13</v>
      </c>
      <c r="F14" s="1">
        <v>1.6964573030000301E-13</v>
      </c>
      <c r="I14" s="15" t="s">
        <v>3</v>
      </c>
      <c r="J14" s="13" t="s">
        <v>4</v>
      </c>
      <c r="K14" s="14" t="s">
        <v>5</v>
      </c>
      <c r="M14" s="15" t="s">
        <v>6</v>
      </c>
      <c r="N14" s="13" t="s">
        <v>4</v>
      </c>
      <c r="O14" s="14" t="s">
        <v>5</v>
      </c>
    </row>
    <row r="15" spans="1:19" x14ac:dyDescent="0.2">
      <c r="A15" s="7" t="s">
        <v>1</v>
      </c>
      <c r="B15" s="2">
        <f t="shared" si="0"/>
        <v>1.3578716752611399</v>
      </c>
      <c r="C15" s="8">
        <f t="shared" si="1"/>
        <v>1.64523389373499</v>
      </c>
      <c r="E15" s="1">
        <v>1.3578716752611399E-13</v>
      </c>
      <c r="F15" s="1">
        <v>1.6452338937349901E-13</v>
      </c>
      <c r="I15" s="17" t="s">
        <v>7</v>
      </c>
      <c r="J15" s="5">
        <v>2.7659509705657399</v>
      </c>
      <c r="K15" s="6">
        <v>3.7435552278230402</v>
      </c>
      <c r="M15" s="17" t="s">
        <v>7</v>
      </c>
      <c r="N15" s="5">
        <v>4.0527883020516295</v>
      </c>
      <c r="O15" s="6">
        <v>6.1987469732447495</v>
      </c>
    </row>
    <row r="16" spans="1:19" x14ac:dyDescent="0.2">
      <c r="A16" s="7" t="s">
        <v>1</v>
      </c>
      <c r="B16" s="2">
        <f t="shared" si="0"/>
        <v>1.32145802404393</v>
      </c>
      <c r="C16" s="8">
        <f t="shared" si="1"/>
        <v>1.6012316799887798</v>
      </c>
      <c r="E16" s="1">
        <v>1.32145802404393E-13</v>
      </c>
      <c r="F16" s="1">
        <v>1.6012316799887799E-13</v>
      </c>
      <c r="I16" s="16"/>
      <c r="J16" s="2">
        <v>2.6522543842520103</v>
      </c>
      <c r="K16" s="8">
        <v>3.59880443954928</v>
      </c>
      <c r="M16" s="16"/>
      <c r="N16" s="2">
        <v>3.8984876589874498</v>
      </c>
      <c r="O16" s="8">
        <v>5.9753940386180995</v>
      </c>
    </row>
    <row r="17" spans="1:16" x14ac:dyDescent="0.2">
      <c r="A17" s="7" t="s">
        <v>1</v>
      </c>
      <c r="B17" s="2">
        <f t="shared" si="0"/>
        <v>1.2878508665059598</v>
      </c>
      <c r="C17" s="8">
        <f t="shared" si="1"/>
        <v>1.56038171330521</v>
      </c>
      <c r="E17" s="1">
        <v>1.2878508665059599E-13</v>
      </c>
      <c r="F17" s="1">
        <v>1.56038171330521E-13</v>
      </c>
      <c r="I17" s="16"/>
      <c r="J17" s="2">
        <v>2.5599444710071202</v>
      </c>
      <c r="K17" s="8">
        <v>3.4806934694950797</v>
      </c>
      <c r="M17" s="16"/>
      <c r="N17" s="2">
        <v>3.7731692025801902</v>
      </c>
      <c r="O17" s="8">
        <v>5.79235361611501</v>
      </c>
    </row>
    <row r="18" spans="1:16" x14ac:dyDescent="0.2">
      <c r="A18" s="7" t="s">
        <v>1</v>
      </c>
      <c r="B18" s="2">
        <f t="shared" si="0"/>
        <v>1.2581154467962801</v>
      </c>
      <c r="C18" s="8">
        <f t="shared" si="1"/>
        <v>1.52411768507801</v>
      </c>
      <c r="E18" s="1">
        <v>1.25811544679628E-13</v>
      </c>
      <c r="F18" s="1">
        <v>1.5241176850780101E-13</v>
      </c>
      <c r="I18" s="16"/>
      <c r="J18" s="2">
        <v>2.4800021785827799</v>
      </c>
      <c r="K18" s="8">
        <v>3.3778026157314995</v>
      </c>
      <c r="M18" s="16"/>
      <c r="N18" s="2">
        <v>3.6658591870911197</v>
      </c>
      <c r="O18" s="8">
        <v>5.6337642586903796</v>
      </c>
    </row>
    <row r="19" spans="1:16" x14ac:dyDescent="0.2">
      <c r="A19" s="7" t="s">
        <v>1</v>
      </c>
      <c r="B19" s="2">
        <f t="shared" si="0"/>
        <v>1.2310369652031898</v>
      </c>
      <c r="C19" s="8">
        <f t="shared" si="1"/>
        <v>1.49021654646743</v>
      </c>
      <c r="E19" s="1">
        <v>1.2310369652031899E-13</v>
      </c>
      <c r="F19" s="1">
        <v>1.49021654646743E-13</v>
      </c>
      <c r="I19" s="16"/>
      <c r="J19" s="2">
        <v>2.4088192169909899</v>
      </c>
      <c r="K19" s="8">
        <v>3.2869137277696701</v>
      </c>
      <c r="M19" s="16"/>
      <c r="N19" s="2">
        <v>3.5726827782274002</v>
      </c>
      <c r="O19" s="8">
        <v>5.4933776841719899</v>
      </c>
    </row>
    <row r="20" spans="1:16" x14ac:dyDescent="0.2">
      <c r="A20" s="7" t="s">
        <v>1</v>
      </c>
      <c r="B20" s="2">
        <f t="shared" si="0"/>
        <v>1.2043565888232401</v>
      </c>
      <c r="C20" s="8">
        <f t="shared" si="1"/>
        <v>1.45758916246569</v>
      </c>
      <c r="E20" s="1">
        <v>1.2043565888232401E-13</v>
      </c>
      <c r="F20" s="1">
        <v>1.4575891624656901E-13</v>
      </c>
      <c r="I20" s="16"/>
      <c r="J20" s="2">
        <v>2.3440032049809898</v>
      </c>
      <c r="K20" s="8">
        <v>3.2028049473067197</v>
      </c>
      <c r="M20" s="16"/>
      <c r="N20" s="2">
        <v>3.4874292720291602</v>
      </c>
      <c r="O20" s="8">
        <v>5.3641746244131197</v>
      </c>
    </row>
    <row r="21" spans="1:16" ht="17" thickBot="1" x14ac:dyDescent="0.25">
      <c r="A21" s="9" t="s">
        <v>1</v>
      </c>
      <c r="B21" s="10">
        <f t="shared" si="0"/>
        <v>1.17985980788943</v>
      </c>
      <c r="C21" s="11">
        <f t="shared" si="1"/>
        <v>1.42664029181008</v>
      </c>
      <c r="E21" s="1">
        <v>1.17985980788943E-13</v>
      </c>
      <c r="F21" s="1">
        <v>1.42664029181008E-13</v>
      </c>
      <c r="I21" s="16"/>
      <c r="J21" s="2">
        <v>2.2843253709143898</v>
      </c>
      <c r="K21" s="8">
        <v>3.1248661585597799</v>
      </c>
      <c r="M21" s="16"/>
      <c r="N21" s="2">
        <v>3.4087098662622397</v>
      </c>
      <c r="O21" s="8">
        <v>5.2457217456993801</v>
      </c>
    </row>
    <row r="22" spans="1:16" x14ac:dyDescent="0.2">
      <c r="A22" s="4" t="s">
        <v>2</v>
      </c>
      <c r="B22" s="5">
        <f t="shared" si="0"/>
        <v>2.0898603431706002</v>
      </c>
      <c r="C22" s="6">
        <f t="shared" si="1"/>
        <v>2.5819263284885801</v>
      </c>
      <c r="E22" s="1">
        <v>2.0898603431706001E-13</v>
      </c>
      <c r="F22" s="1">
        <v>2.5819263284885802E-13</v>
      </c>
      <c r="I22" s="16"/>
      <c r="J22" s="2">
        <v>2.2300249037896598</v>
      </c>
      <c r="K22" s="8">
        <v>3.0544173360460203</v>
      </c>
      <c r="M22" s="16"/>
      <c r="N22" s="2">
        <v>3.33790763216285</v>
      </c>
      <c r="O22" s="8">
        <v>5.1377802460359199</v>
      </c>
    </row>
    <row r="23" spans="1:16" x14ac:dyDescent="0.2">
      <c r="A23" s="7" t="s">
        <v>2</v>
      </c>
      <c r="B23" s="2">
        <f t="shared" si="0"/>
        <v>2.0035968925348802</v>
      </c>
      <c r="C23" s="8">
        <f t="shared" si="1"/>
        <v>2.4773219039369403</v>
      </c>
      <c r="E23" s="1">
        <v>2.0035968925348801E-13</v>
      </c>
      <c r="F23" s="1">
        <v>2.4773219039369402E-13</v>
      </c>
      <c r="I23" s="16"/>
      <c r="J23" s="2">
        <v>2.1792427351637</v>
      </c>
      <c r="K23" s="8">
        <v>2.9886290954671799</v>
      </c>
      <c r="M23" s="16"/>
      <c r="N23" s="2">
        <v>3.2729542294092502</v>
      </c>
      <c r="O23" s="8">
        <v>5.0375349818225805</v>
      </c>
    </row>
    <row r="24" spans="1:16" ht="17" thickBot="1" x14ac:dyDescent="0.25">
      <c r="A24" s="7" t="s">
        <v>2</v>
      </c>
      <c r="B24" s="2">
        <f t="shared" si="0"/>
        <v>1.93357148883527</v>
      </c>
      <c r="C24" s="8">
        <f t="shared" si="1"/>
        <v>2.3926254200266799</v>
      </c>
      <c r="E24" s="1">
        <v>1.93357148883527E-13</v>
      </c>
      <c r="F24" s="1">
        <v>2.3926254200266798E-13</v>
      </c>
      <c r="I24" s="18"/>
      <c r="J24" s="10">
        <v>2.1310554391440402</v>
      </c>
      <c r="K24" s="11">
        <v>2.9276158162178998</v>
      </c>
      <c r="M24" s="18"/>
      <c r="N24" s="10">
        <v>3.2127692721221202</v>
      </c>
      <c r="O24" s="11">
        <v>4.9450926636349699</v>
      </c>
    </row>
    <row r="25" spans="1:16" x14ac:dyDescent="0.2">
      <c r="A25" s="7" t="s">
        <v>2</v>
      </c>
      <c r="B25" s="2">
        <f t="shared" si="0"/>
        <v>1.8739777224098</v>
      </c>
      <c r="C25" s="8">
        <f t="shared" si="1"/>
        <v>2.3189267745720898</v>
      </c>
      <c r="E25" s="1">
        <v>1.8739777224098E-13</v>
      </c>
      <c r="F25" s="1">
        <v>2.3189267745720899E-13</v>
      </c>
      <c r="I25" s="2" t="s">
        <v>8</v>
      </c>
      <c r="J25" s="2">
        <f>AVERAGE(J15:J24)</f>
        <v>2.4035622875391418</v>
      </c>
      <c r="K25" s="2">
        <f>AVERAGE(K15:K24)</f>
        <v>3.2786102833966169</v>
      </c>
      <c r="M25" s="2" t="s">
        <v>8</v>
      </c>
      <c r="N25" s="2">
        <f>AVERAGE(N15:N24)</f>
        <v>3.5682757400923406</v>
      </c>
      <c r="O25" s="2">
        <f>AVERAGE(O15:O24)</f>
        <v>5.4823940832446194</v>
      </c>
    </row>
    <row r="26" spans="1:16" x14ac:dyDescent="0.2">
      <c r="A26" s="7" t="s">
        <v>2</v>
      </c>
      <c r="B26" s="2">
        <f t="shared" si="0"/>
        <v>1.8207693707640298</v>
      </c>
      <c r="C26" s="8">
        <f t="shared" si="1"/>
        <v>2.2552228755310297</v>
      </c>
      <c r="E26" s="1">
        <v>1.8207693707640299E-13</v>
      </c>
      <c r="F26" s="1">
        <v>2.25522287553103E-13</v>
      </c>
      <c r="I26" s="2" t="s">
        <v>13</v>
      </c>
      <c r="J26" s="2">
        <f>STDEV(J15:J24)</f>
        <v>0.20975080195040538</v>
      </c>
      <c r="K26" s="2">
        <f>STDEV(K15:K24)</f>
        <v>0.27005681849783131</v>
      </c>
      <c r="M26" s="2" t="s">
        <v>13</v>
      </c>
      <c r="N26" s="2">
        <f>STDEV(N15:N24)</f>
        <v>0.27768530234413102</v>
      </c>
      <c r="O26" s="2">
        <f>STDEV(O15:O24)</f>
        <v>0.41508495365602871</v>
      </c>
    </row>
    <row r="27" spans="1:16" x14ac:dyDescent="0.2">
      <c r="A27" s="7" t="s">
        <v>2</v>
      </c>
      <c r="B27" s="2">
        <f t="shared" si="0"/>
        <v>1.7725962470470999</v>
      </c>
      <c r="C27" s="8">
        <f t="shared" si="1"/>
        <v>2.19746930892744</v>
      </c>
      <c r="E27" s="1">
        <v>1.7725962470471001E-13</v>
      </c>
      <c r="F27" s="1">
        <v>2.19746930892744E-13</v>
      </c>
      <c r="O27" s="2" t="s">
        <v>9</v>
      </c>
      <c r="P27" s="2" t="s">
        <v>10</v>
      </c>
    </row>
    <row r="28" spans="1:16" x14ac:dyDescent="0.2">
      <c r="A28" s="7" t="s">
        <v>2</v>
      </c>
      <c r="B28" s="2">
        <f t="shared" si="0"/>
        <v>1.7298169788981699</v>
      </c>
      <c r="C28" s="8">
        <f t="shared" si="1"/>
        <v>2.1455784394490096</v>
      </c>
      <c r="E28" s="1">
        <v>1.72981697889817E-13</v>
      </c>
      <c r="F28" s="1">
        <v>2.1455784394490099E-13</v>
      </c>
      <c r="O28" s="2" t="s">
        <v>12</v>
      </c>
      <c r="P28" s="2" t="s">
        <v>11</v>
      </c>
    </row>
    <row r="29" spans="1:16" x14ac:dyDescent="0.2">
      <c r="A29" s="7" t="s">
        <v>2</v>
      </c>
      <c r="B29" s="2">
        <f t="shared" si="0"/>
        <v>1.68981163156333</v>
      </c>
      <c r="C29" s="8">
        <f t="shared" si="1"/>
        <v>2.0975560828943602</v>
      </c>
      <c r="E29" s="1">
        <v>1.68981163156333E-13</v>
      </c>
      <c r="F29" s="1">
        <v>2.0975560828943601E-13</v>
      </c>
    </row>
    <row r="30" spans="1:16" x14ac:dyDescent="0.2">
      <c r="A30" s="7" t="s">
        <v>2</v>
      </c>
      <c r="B30" s="2">
        <f t="shared" si="0"/>
        <v>1.6534632581064199</v>
      </c>
      <c r="C30" s="8">
        <f t="shared" si="1"/>
        <v>2.05282812003257</v>
      </c>
      <c r="E30" s="1">
        <v>1.6534632581064199E-13</v>
      </c>
      <c r="F30" s="1">
        <v>2.0528281200325701E-13</v>
      </c>
    </row>
    <row r="31" spans="1:16" ht="17" thickBot="1" x14ac:dyDescent="0.25">
      <c r="A31" s="9" t="s">
        <v>2</v>
      </c>
      <c r="B31" s="10">
        <f t="shared" si="0"/>
        <v>1.6187610037993099</v>
      </c>
      <c r="C31" s="11">
        <f t="shared" si="1"/>
        <v>2.0109198899660101</v>
      </c>
      <c r="E31" s="1">
        <v>1.61876100379931E-13</v>
      </c>
      <c r="F31" s="1">
        <v>2.01091988996601E-13</v>
      </c>
    </row>
    <row r="32" spans="1:16" x14ac:dyDescent="0.2">
      <c r="A32" s="4" t="s">
        <v>3</v>
      </c>
      <c r="B32" s="5">
        <f t="shared" si="0"/>
        <v>2.7659509705657399</v>
      </c>
      <c r="C32" s="6">
        <f t="shared" si="1"/>
        <v>3.7435552278230402</v>
      </c>
      <c r="E32" s="1">
        <v>2.7659509705657402E-13</v>
      </c>
      <c r="F32" s="1">
        <v>3.7435552278230401E-13</v>
      </c>
    </row>
    <row r="33" spans="1:6" x14ac:dyDescent="0.2">
      <c r="A33" s="7" t="s">
        <v>3</v>
      </c>
      <c r="B33" s="2">
        <f t="shared" si="0"/>
        <v>2.6522543842520103</v>
      </c>
      <c r="C33" s="8">
        <f t="shared" si="1"/>
        <v>3.59880443954928</v>
      </c>
      <c r="E33" s="1">
        <v>2.6522543842520102E-13</v>
      </c>
      <c r="F33" s="1">
        <v>3.5988044395492802E-13</v>
      </c>
    </row>
    <row r="34" spans="1:6" x14ac:dyDescent="0.2">
      <c r="A34" s="7" t="s">
        <v>3</v>
      </c>
      <c r="B34" s="2">
        <f t="shared" si="0"/>
        <v>2.5599444710071202</v>
      </c>
      <c r="C34" s="8">
        <f t="shared" si="1"/>
        <v>3.4806934694950797</v>
      </c>
      <c r="E34" s="1">
        <v>2.5599444710071201E-13</v>
      </c>
      <c r="F34" s="1">
        <v>3.4806934694950798E-13</v>
      </c>
    </row>
    <row r="35" spans="1:6" x14ac:dyDescent="0.2">
      <c r="A35" s="7" t="s">
        <v>3</v>
      </c>
      <c r="B35" s="2">
        <f t="shared" si="0"/>
        <v>2.4800021785827799</v>
      </c>
      <c r="C35" s="8">
        <f t="shared" si="1"/>
        <v>3.3778026157314995</v>
      </c>
      <c r="E35" s="1">
        <v>2.4800021785827802E-13</v>
      </c>
      <c r="F35" s="1">
        <v>3.3778026157314998E-13</v>
      </c>
    </row>
    <row r="36" spans="1:6" x14ac:dyDescent="0.2">
      <c r="A36" s="7" t="s">
        <v>3</v>
      </c>
      <c r="B36" s="2">
        <f t="shared" si="0"/>
        <v>2.4088192169909899</v>
      </c>
      <c r="C36" s="8">
        <f t="shared" si="1"/>
        <v>3.2869137277696701</v>
      </c>
      <c r="E36" s="1">
        <v>2.4088192169909899E-13</v>
      </c>
      <c r="F36" s="1">
        <v>3.2869137277696702E-13</v>
      </c>
    </row>
    <row r="37" spans="1:6" x14ac:dyDescent="0.2">
      <c r="A37" s="7" t="s">
        <v>3</v>
      </c>
      <c r="B37" s="2">
        <f t="shared" si="0"/>
        <v>2.3440032049809898</v>
      </c>
      <c r="C37" s="8">
        <f t="shared" si="1"/>
        <v>3.2028049473067197</v>
      </c>
      <c r="E37" s="1">
        <v>2.3440032049809898E-13</v>
      </c>
      <c r="F37" s="1">
        <v>3.20280494730672E-13</v>
      </c>
    </row>
    <row r="38" spans="1:6" x14ac:dyDescent="0.2">
      <c r="A38" s="7" t="s">
        <v>3</v>
      </c>
      <c r="B38" s="2">
        <f t="shared" si="0"/>
        <v>2.2843253709143898</v>
      </c>
      <c r="C38" s="8">
        <f t="shared" si="1"/>
        <v>3.1248661585597799</v>
      </c>
      <c r="E38" s="1">
        <v>2.2843253709143898E-13</v>
      </c>
      <c r="F38" s="1">
        <v>3.12486615855978E-13</v>
      </c>
    </row>
    <row r="39" spans="1:6" x14ac:dyDescent="0.2">
      <c r="A39" s="7" t="s">
        <v>3</v>
      </c>
      <c r="B39" s="2">
        <f t="shared" si="0"/>
        <v>2.2300249037896598</v>
      </c>
      <c r="C39" s="8">
        <f t="shared" si="1"/>
        <v>3.0544173360460203</v>
      </c>
      <c r="E39" s="1">
        <v>2.23002490378966E-13</v>
      </c>
      <c r="F39" s="1">
        <v>3.0544173360460203E-13</v>
      </c>
    </row>
    <row r="40" spans="1:6" x14ac:dyDescent="0.2">
      <c r="A40" s="7" t="s">
        <v>3</v>
      </c>
      <c r="B40" s="2">
        <f t="shared" si="0"/>
        <v>2.1792427351637</v>
      </c>
      <c r="C40" s="8">
        <f t="shared" si="1"/>
        <v>2.9886290954671799</v>
      </c>
      <c r="E40" s="1">
        <v>2.1792427351637E-13</v>
      </c>
      <c r="F40" s="1">
        <v>2.9886290954671799E-13</v>
      </c>
    </row>
    <row r="41" spans="1:6" ht="17" thickBot="1" x14ac:dyDescent="0.25">
      <c r="A41" s="9" t="s">
        <v>3</v>
      </c>
      <c r="B41" s="10">
        <f t="shared" si="0"/>
        <v>2.1310554391440402</v>
      </c>
      <c r="C41" s="11">
        <f t="shared" si="1"/>
        <v>2.9276158162178998</v>
      </c>
      <c r="E41" s="1">
        <v>2.13105543914404E-13</v>
      </c>
      <c r="F41" s="1">
        <v>2.9276158162178998E-13</v>
      </c>
    </row>
    <row r="42" spans="1:6" x14ac:dyDescent="0.2">
      <c r="A42" s="4" t="s">
        <v>6</v>
      </c>
      <c r="B42" s="5">
        <f>E42*10000000000000</f>
        <v>4.0527883020516295</v>
      </c>
      <c r="C42" s="6">
        <f>F42*10000000000000</f>
        <v>6.1987469732447495</v>
      </c>
      <c r="E42" s="3">
        <v>4.0527883020516299E-13</v>
      </c>
      <c r="F42" s="3">
        <v>6.1987469732447497E-13</v>
      </c>
    </row>
    <row r="43" spans="1:6" x14ac:dyDescent="0.2">
      <c r="A43" s="7" t="s">
        <v>6</v>
      </c>
      <c r="B43" s="2">
        <f t="shared" ref="B43:B51" si="2">E43*10000000000000</f>
        <v>3.8984876589874498</v>
      </c>
      <c r="C43" s="8">
        <f t="shared" ref="C43:C51" si="3">F43*10000000000000</f>
        <v>5.9753940386180995</v>
      </c>
      <c r="E43" s="3">
        <v>3.8984876589874498E-13</v>
      </c>
      <c r="F43" s="3">
        <v>5.9753940386180997E-13</v>
      </c>
    </row>
    <row r="44" spans="1:6" x14ac:dyDescent="0.2">
      <c r="A44" s="7" t="s">
        <v>6</v>
      </c>
      <c r="B44" s="2">
        <f t="shared" si="2"/>
        <v>3.7731692025801902</v>
      </c>
      <c r="C44" s="8">
        <f t="shared" si="3"/>
        <v>5.79235361611501</v>
      </c>
      <c r="E44" s="3">
        <v>3.7731692025801901E-13</v>
      </c>
      <c r="F44" s="3">
        <v>5.79235361611501E-13</v>
      </c>
    </row>
    <row r="45" spans="1:6" x14ac:dyDescent="0.2">
      <c r="A45" s="7" t="s">
        <v>6</v>
      </c>
      <c r="B45" s="2">
        <f t="shared" si="2"/>
        <v>3.6658591870911197</v>
      </c>
      <c r="C45" s="8">
        <f t="shared" si="3"/>
        <v>5.6337642586903796</v>
      </c>
      <c r="E45" s="3">
        <v>3.6658591870911199E-13</v>
      </c>
      <c r="F45" s="3">
        <v>5.6337642586903798E-13</v>
      </c>
    </row>
    <row r="46" spans="1:6" x14ac:dyDescent="0.2">
      <c r="A46" s="7" t="s">
        <v>6</v>
      </c>
      <c r="B46" s="2">
        <f t="shared" si="2"/>
        <v>3.5726827782274002</v>
      </c>
      <c r="C46" s="8">
        <f t="shared" si="3"/>
        <v>5.4933776841719899</v>
      </c>
      <c r="E46" s="3">
        <v>3.5726827782274002E-13</v>
      </c>
      <c r="F46" s="3">
        <v>5.4933776841719903E-13</v>
      </c>
    </row>
    <row r="47" spans="1:6" x14ac:dyDescent="0.2">
      <c r="A47" s="7" t="s">
        <v>6</v>
      </c>
      <c r="B47" s="2">
        <f t="shared" si="2"/>
        <v>3.4874292720291602</v>
      </c>
      <c r="C47" s="8">
        <f t="shared" si="3"/>
        <v>5.3641746244131197</v>
      </c>
      <c r="E47" s="3">
        <v>3.4874292720291602E-13</v>
      </c>
      <c r="F47" s="3">
        <v>5.3641746244131198E-13</v>
      </c>
    </row>
    <row r="48" spans="1:6" x14ac:dyDescent="0.2">
      <c r="A48" s="7" t="s">
        <v>6</v>
      </c>
      <c r="B48" s="2">
        <f t="shared" si="2"/>
        <v>3.4087098662622397</v>
      </c>
      <c r="C48" s="8">
        <f t="shared" si="3"/>
        <v>5.2457217456993801</v>
      </c>
      <c r="E48" s="3">
        <v>3.4087098662622399E-13</v>
      </c>
      <c r="F48" s="3">
        <v>5.2457217456993797E-13</v>
      </c>
    </row>
    <row r="49" spans="1:6" x14ac:dyDescent="0.2">
      <c r="A49" s="7" t="s">
        <v>6</v>
      </c>
      <c r="B49" s="2">
        <f t="shared" si="2"/>
        <v>3.33790763216285</v>
      </c>
      <c r="C49" s="8">
        <f t="shared" si="3"/>
        <v>5.1377802460359199</v>
      </c>
      <c r="E49" s="3">
        <v>3.3379076321628502E-13</v>
      </c>
      <c r="F49" s="3">
        <v>5.13778024603592E-13</v>
      </c>
    </row>
    <row r="50" spans="1:6" x14ac:dyDescent="0.2">
      <c r="A50" s="7" t="s">
        <v>6</v>
      </c>
      <c r="B50" s="2">
        <f t="shared" si="2"/>
        <v>3.2729542294092502</v>
      </c>
      <c r="C50" s="8">
        <f t="shared" si="3"/>
        <v>5.0375349818225805</v>
      </c>
      <c r="E50" s="3">
        <v>3.2729542294092502E-13</v>
      </c>
      <c r="F50" s="3">
        <v>5.0375349818225803E-13</v>
      </c>
    </row>
    <row r="51" spans="1:6" ht="17" thickBot="1" x14ac:dyDescent="0.25">
      <c r="A51" s="9" t="s">
        <v>6</v>
      </c>
      <c r="B51" s="10">
        <f t="shared" si="2"/>
        <v>3.2127692721221202</v>
      </c>
      <c r="C51" s="11">
        <f t="shared" si="3"/>
        <v>4.9450926636349699</v>
      </c>
      <c r="E51" s="3">
        <v>3.2127692721221201E-13</v>
      </c>
      <c r="F51" s="3">
        <v>4.9450926636349696E-13</v>
      </c>
    </row>
  </sheetData>
  <phoneticPr fontId="1" type="noConversion"/>
  <pageMargins left="0.7" right="0.7" top="0.75" bottom="0.75" header="0.3" footer="0.3"/>
  <pageSetup scale="55" orientation="portrait" horizontalDpi="0" verticalDpi="0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35E-47F3-9E48-9610-2C34101AFDC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diffusivities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Ruan, Xiaoxu</dc:creator>
  <cp:lastModifiedBy>Ruan, Xiaoxu</cp:lastModifiedBy>
  <dcterms:created xsi:type="dcterms:W3CDTF">2025-09-16T18:22:52Z</dcterms:created>
  <dcterms:modified xsi:type="dcterms:W3CDTF">2026-02-13T19:20:29Z</dcterms:modified>
</cp:coreProperties>
</file>